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faultuser0\Documents\nicosys-da-gym\excel\"/>
    </mc:Choice>
  </mc:AlternateContent>
  <xr:revisionPtr revIDLastSave="0" documentId="8_{282C54C1-306B-43AE-9C9B-1FB9397B09CA}" xr6:coauthVersionLast="47" xr6:coauthVersionMax="47" xr10:uidLastSave="{00000000-0000-0000-0000-000000000000}"/>
  <bookViews>
    <workbookView xWindow="19110" yWindow="0" windowWidth="38580" windowHeight="10530" activeTab="1" xr2:uid="{00000000-000D-0000-FFFF-FFFF00000000}"/>
  </bookViews>
  <sheets>
    <sheet name="Raw_Data" sheetId="1" r:id="rId1"/>
    <sheet name="Practice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6" i="2"/>
  <c r="D5" i="2"/>
  <c r="D4" i="2"/>
  <c r="B24" i="2"/>
  <c r="B23" i="2"/>
  <c r="B22" i="2"/>
  <c r="B21" i="2"/>
  <c r="B20" i="2"/>
  <c r="B19" i="2"/>
  <c r="B18" i="2"/>
  <c r="B17" i="2"/>
</calcChain>
</file>

<file path=xl/sharedStrings.xml><?xml version="1.0" encoding="utf-8"?>
<sst xmlns="http://schemas.openxmlformats.org/spreadsheetml/2006/main" count="134" uniqueCount="95">
  <si>
    <t>Application_ID</t>
  </si>
  <si>
    <t>Company</t>
  </si>
  <si>
    <t>Role_Category</t>
  </si>
  <si>
    <t>Status</t>
  </si>
  <si>
    <t>Salary_Min</t>
  </si>
  <si>
    <t>Salary_Max</t>
  </si>
  <si>
    <t>Fit_Rating</t>
  </si>
  <si>
    <t>Location</t>
  </si>
  <si>
    <t>Work_Type</t>
  </si>
  <si>
    <t>A001</t>
  </si>
  <si>
    <t>Mercury Insurance</t>
  </si>
  <si>
    <t>Technical Product Analyst</t>
  </si>
  <si>
    <t>Interview</t>
  </si>
  <si>
    <t>Remote</t>
  </si>
  <si>
    <t>A002</t>
  </si>
  <si>
    <t>Three Square</t>
  </si>
  <si>
    <t>Operations / Supervisor</t>
  </si>
  <si>
    <t>Offer</t>
  </si>
  <si>
    <t>Las Vegas, NV</t>
  </si>
  <si>
    <t>On-site</t>
  </si>
  <si>
    <t>A003</t>
  </si>
  <si>
    <t>Las Vegas Sands</t>
  </si>
  <si>
    <t>Data Analyst</t>
  </si>
  <si>
    <t>Applied</t>
  </si>
  <si>
    <t>A004</t>
  </si>
  <si>
    <t>DoorDash</t>
  </si>
  <si>
    <t>Strategy &amp; Operations</t>
  </si>
  <si>
    <t>Rejected</t>
  </si>
  <si>
    <t>A005</t>
  </si>
  <si>
    <t>Dane Street</t>
  </si>
  <si>
    <t>Junior BI Analyst</t>
  </si>
  <si>
    <t>A006</t>
  </si>
  <si>
    <t>NMI</t>
  </si>
  <si>
    <t>Product Data Analyst</t>
  </si>
  <si>
    <t>A007</t>
  </si>
  <si>
    <t>Touro University Nevada</t>
  </si>
  <si>
    <t>Assessment Specialist</t>
  </si>
  <si>
    <t>Henderson, NV</t>
  </si>
  <si>
    <t>A008</t>
  </si>
  <si>
    <t>United Way</t>
  </si>
  <si>
    <t>Data &amp; Training Specialist</t>
  </si>
  <si>
    <t>Hybrid</t>
  </si>
  <si>
    <t>A009</t>
  </si>
  <si>
    <t>Abacus Insights</t>
  </si>
  <si>
    <t>Associate Data QA</t>
  </si>
  <si>
    <t>A010</t>
  </si>
  <si>
    <t>Affirm</t>
  </si>
  <si>
    <t>Analyst I</t>
  </si>
  <si>
    <t>A011</t>
  </si>
  <si>
    <t>TeamBuilderz</t>
  </si>
  <si>
    <t>Entry Data Analyst</t>
  </si>
  <si>
    <t>A012</t>
  </si>
  <si>
    <t>Nevada Health Division</t>
  </si>
  <si>
    <t>Health Resource Analyst</t>
  </si>
  <si>
    <t>Excel Analytics Practice</t>
  </si>
  <si>
    <t>#</t>
  </si>
  <si>
    <t>Business Question</t>
  </si>
  <si>
    <t>Function Hint</t>
  </si>
  <si>
    <t>Write Your Formula Here</t>
  </si>
  <si>
    <t>Expected Skill</t>
  </si>
  <si>
    <t>Check</t>
  </si>
  <si>
    <t>Return Salary_Max for "Mercury Insurance".</t>
  </si>
  <si>
    <t>XLOOKUP</t>
  </si>
  <si>
    <t>Lookup</t>
  </si>
  <si>
    <t>Return Fit_Rating for "Three Square".</t>
  </si>
  <si>
    <t>Return Salary_Max for "Las Vegas Sands"; show "Not Found" if missing.</t>
  </si>
  <si>
    <t>Lookup + fallback</t>
  </si>
  <si>
    <t>Average Fit_Rating where Status = "Interview".</t>
  </si>
  <si>
    <t>AVERAGEIF</t>
  </si>
  <si>
    <t>Conditional average</t>
  </si>
  <si>
    <t>Average Salary_Max where Status = "Interview" and Fit_Rating &gt;= 8.</t>
  </si>
  <si>
    <t>AVERAGEIFS</t>
  </si>
  <si>
    <t>Multiple criteria</t>
  </si>
  <si>
    <t>Count applications where Status = "Interview" and Fit_Rating &gt;= 8.</t>
  </si>
  <si>
    <t>COUNTIFS</t>
  </si>
  <si>
    <t>Sum Salary_Max where Status = "Interview" and Fit_Rating &gt;= 8.</t>
  </si>
  <si>
    <t>SUMIFS</t>
  </si>
  <si>
    <t>Count all applications with Status = "Applied".</t>
  </si>
  <si>
    <t>COUNTIF</t>
  </si>
  <si>
    <t>Single criteria</t>
  </si>
  <si>
    <t>Answer Key — check only after you try the formulas</t>
  </si>
  <si>
    <t>Answer Formula</t>
  </si>
  <si>
    <t>Expected Result</t>
  </si>
  <si>
    <t>Tip: Type formulas in column D. Use the table name JobSearch and structured references like JobSearch[Company].</t>
  </si>
  <si>
    <t>Quick Reference</t>
  </si>
  <si>
    <t>Pattern</t>
  </si>
  <si>
    <t>Use</t>
  </si>
  <si>
    <t>Find a specific record and return a related value</t>
  </si>
  <si>
    <t>Count rows matching one condition</t>
  </si>
  <si>
    <t>Count rows matching multiple conditions</t>
  </si>
  <si>
    <t>SUMIF</t>
  </si>
  <si>
    <t>Sum values matching one condition</t>
  </si>
  <si>
    <t>Sum values matching multiple conditions</t>
  </si>
  <si>
    <t>Average values matching one condition</t>
  </si>
  <si>
    <t>Average values matching multiple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</si>
</sst>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i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3" fillId="6" borderId="0" xfId="0" applyFont="1" applyFill="1"/>
    <xf numFmtId="2" fontId="0" fillId="0" borderId="0" xfId="0" applyNumberFormat="1"/>
    <xf numFmtId="0" fontId="3" fillId="4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wrapText="1"/>
    </xf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Search" displayName="JobSearch" ref="A1:I13" totalsRowShown="0">
  <tableColumns count="9">
    <tableColumn id="1" xr3:uid="{00000000-0010-0000-0000-000001000000}" name="Application_ID"/>
    <tableColumn id="2" xr3:uid="{00000000-0010-0000-0000-000002000000}" name="Company"/>
    <tableColumn id="3" xr3:uid="{00000000-0010-0000-0000-000003000000}" name="Role_Category"/>
    <tableColumn id="4" xr3:uid="{00000000-0010-0000-0000-000004000000}" name="Status"/>
    <tableColumn id="5" xr3:uid="{00000000-0010-0000-0000-000005000000}" name="Salary_Min"/>
    <tableColumn id="6" xr3:uid="{00000000-0010-0000-0000-000006000000}" name="Salary_Max"/>
    <tableColumn id="7" xr3:uid="{00000000-0010-0000-0000-000007000000}" name="Fit_Rating"/>
    <tableColumn id="8" xr3:uid="{00000000-0010-0000-0000-000008000000}" name="Location"/>
    <tableColumn id="9" xr3:uid="{00000000-0010-0000-0000-000009000000}" name="Work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H6" sqref="H6"/>
    </sheetView>
  </sheetViews>
  <sheetFormatPr defaultRowHeight="13.8"/>
  <cols>
    <col min="1" max="1" width="11.69921875" customWidth="1"/>
    <col min="2" max="3" width="22" customWidth="1"/>
    <col min="4" max="4" width="7.59765625" customWidth="1"/>
    <col min="5" max="5" width="9.09765625" customWidth="1"/>
    <col min="6" max="6" width="9.5" customWidth="1"/>
    <col min="7" max="7" width="8.19921875" customWidth="1"/>
    <col min="8" max="9" width="22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6">
      <c r="A2" s="2" t="s">
        <v>9</v>
      </c>
      <c r="B2" s="2" t="s">
        <v>10</v>
      </c>
      <c r="C2" s="2" t="s">
        <v>11</v>
      </c>
      <c r="D2" s="2" t="s">
        <v>12</v>
      </c>
      <c r="E2" s="3">
        <v>70000</v>
      </c>
      <c r="F2" s="3">
        <v>80000</v>
      </c>
      <c r="G2" s="4">
        <v>9</v>
      </c>
      <c r="H2" s="2" t="s">
        <v>13</v>
      </c>
      <c r="I2" s="2" t="s">
        <v>13</v>
      </c>
    </row>
    <row r="3" spans="1:9">
      <c r="A3" s="2" t="s">
        <v>14</v>
      </c>
      <c r="B3" s="2" t="s">
        <v>15</v>
      </c>
      <c r="C3" s="2" t="s">
        <v>16</v>
      </c>
      <c r="D3" s="2" t="s">
        <v>17</v>
      </c>
      <c r="E3" s="3">
        <v>67500</v>
      </c>
      <c r="F3" s="3">
        <v>72000</v>
      </c>
      <c r="G3" s="4">
        <v>10</v>
      </c>
      <c r="H3" s="2" t="s">
        <v>18</v>
      </c>
      <c r="I3" s="2" t="s">
        <v>19</v>
      </c>
    </row>
    <row r="4" spans="1:9">
      <c r="A4" s="2" t="s">
        <v>20</v>
      </c>
      <c r="B4" s="2" t="s">
        <v>21</v>
      </c>
      <c r="C4" s="2" t="s">
        <v>22</v>
      </c>
      <c r="D4" s="2" t="s">
        <v>23</v>
      </c>
      <c r="E4" s="3">
        <v>68000</v>
      </c>
      <c r="F4" s="3">
        <v>76000</v>
      </c>
      <c r="G4" s="4">
        <v>8</v>
      </c>
      <c r="H4" s="2" t="s">
        <v>18</v>
      </c>
      <c r="I4" s="2" t="s">
        <v>19</v>
      </c>
    </row>
    <row r="5" spans="1:9" ht="27.6">
      <c r="A5" s="2" t="s">
        <v>24</v>
      </c>
      <c r="B5" s="2" t="s">
        <v>25</v>
      </c>
      <c r="C5" s="2" t="s">
        <v>26</v>
      </c>
      <c r="D5" s="2" t="s">
        <v>27</v>
      </c>
      <c r="E5" s="3">
        <v>72000</v>
      </c>
      <c r="F5" s="3">
        <v>95000</v>
      </c>
      <c r="G5" s="4">
        <v>7</v>
      </c>
      <c r="H5" s="2" t="s">
        <v>13</v>
      </c>
      <c r="I5" s="2" t="s">
        <v>13</v>
      </c>
    </row>
    <row r="6" spans="1:9" ht="27.6">
      <c r="A6" s="2" t="s">
        <v>28</v>
      </c>
      <c r="B6" s="2" t="s">
        <v>29</v>
      </c>
      <c r="C6" s="2" t="s">
        <v>30</v>
      </c>
      <c r="D6" s="2" t="s">
        <v>12</v>
      </c>
      <c r="E6" s="3">
        <v>60000</v>
      </c>
      <c r="F6" s="3">
        <v>72000</v>
      </c>
      <c r="G6" s="4">
        <v>8</v>
      </c>
      <c r="H6" s="2" t="s">
        <v>13</v>
      </c>
      <c r="I6" s="2" t="s">
        <v>13</v>
      </c>
    </row>
    <row r="7" spans="1:9">
      <c r="A7" s="2" t="s">
        <v>31</v>
      </c>
      <c r="B7" s="2" t="s">
        <v>32</v>
      </c>
      <c r="C7" s="2" t="s">
        <v>33</v>
      </c>
      <c r="D7" s="2" t="s">
        <v>23</v>
      </c>
      <c r="E7" s="3">
        <v>65000</v>
      </c>
      <c r="F7" s="3">
        <v>80000</v>
      </c>
      <c r="G7" s="4">
        <v>8</v>
      </c>
      <c r="H7" s="2" t="s">
        <v>13</v>
      </c>
      <c r="I7" s="2" t="s">
        <v>13</v>
      </c>
    </row>
    <row r="8" spans="1:9" ht="27.6">
      <c r="A8" s="2" t="s">
        <v>34</v>
      </c>
      <c r="B8" s="2" t="s">
        <v>35</v>
      </c>
      <c r="C8" s="2" t="s">
        <v>36</v>
      </c>
      <c r="D8" s="2" t="s">
        <v>27</v>
      </c>
      <c r="E8" s="3">
        <v>58000</v>
      </c>
      <c r="F8" s="3">
        <v>68000</v>
      </c>
      <c r="G8" s="4">
        <v>7</v>
      </c>
      <c r="H8" s="2" t="s">
        <v>37</v>
      </c>
      <c r="I8" s="2" t="s">
        <v>19</v>
      </c>
    </row>
    <row r="9" spans="1:9" ht="27.6">
      <c r="A9" s="2" t="s">
        <v>38</v>
      </c>
      <c r="B9" s="2" t="s">
        <v>39</v>
      </c>
      <c r="C9" s="2" t="s">
        <v>40</v>
      </c>
      <c r="D9" s="2" t="s">
        <v>12</v>
      </c>
      <c r="E9" s="3">
        <v>60000</v>
      </c>
      <c r="F9" s="3">
        <v>60000</v>
      </c>
      <c r="G9" s="4">
        <v>8</v>
      </c>
      <c r="H9" s="2" t="s">
        <v>18</v>
      </c>
      <c r="I9" s="2" t="s">
        <v>41</v>
      </c>
    </row>
    <row r="10" spans="1:9">
      <c r="A10" s="2" t="s">
        <v>42</v>
      </c>
      <c r="B10" s="2" t="s">
        <v>43</v>
      </c>
      <c r="C10" s="2" t="s">
        <v>44</v>
      </c>
      <c r="D10" s="2" t="s">
        <v>23</v>
      </c>
      <c r="E10" s="3">
        <v>65000</v>
      </c>
      <c r="F10" s="3">
        <v>78000</v>
      </c>
      <c r="G10" s="4">
        <v>8</v>
      </c>
      <c r="H10" s="2" t="s">
        <v>13</v>
      </c>
      <c r="I10" s="2" t="s">
        <v>13</v>
      </c>
    </row>
    <row r="11" spans="1:9" ht="27.6">
      <c r="A11" s="2" t="s">
        <v>45</v>
      </c>
      <c r="B11" s="2" t="s">
        <v>46</v>
      </c>
      <c r="C11" s="2" t="s">
        <v>47</v>
      </c>
      <c r="D11" s="2" t="s">
        <v>27</v>
      </c>
      <c r="E11" s="3">
        <v>70000</v>
      </c>
      <c r="F11" s="3">
        <v>85000</v>
      </c>
      <c r="G11" s="4">
        <v>7</v>
      </c>
      <c r="H11" s="2" t="s">
        <v>13</v>
      </c>
      <c r="I11" s="2" t="s">
        <v>13</v>
      </c>
    </row>
    <row r="12" spans="1:9">
      <c r="A12" s="2" t="s">
        <v>48</v>
      </c>
      <c r="B12" s="2" t="s">
        <v>49</v>
      </c>
      <c r="C12" s="2" t="s">
        <v>50</v>
      </c>
      <c r="D12" s="2" t="s">
        <v>23</v>
      </c>
      <c r="E12" s="3">
        <v>55000</v>
      </c>
      <c r="F12" s="3">
        <v>65000</v>
      </c>
      <c r="G12" s="4">
        <v>6</v>
      </c>
      <c r="H12" s="2" t="s">
        <v>13</v>
      </c>
      <c r="I12" s="2" t="s">
        <v>13</v>
      </c>
    </row>
    <row r="13" spans="1:9" ht="27.6">
      <c r="A13" s="2" t="s">
        <v>51</v>
      </c>
      <c r="B13" s="2" t="s">
        <v>52</v>
      </c>
      <c r="C13" s="2" t="s">
        <v>53</v>
      </c>
      <c r="D13" s="2" t="s">
        <v>12</v>
      </c>
      <c r="E13" s="3">
        <v>65000</v>
      </c>
      <c r="F13" s="3">
        <v>74000</v>
      </c>
      <c r="G13" s="4">
        <v>9</v>
      </c>
      <c r="H13" s="2" t="s">
        <v>18</v>
      </c>
      <c r="I13" s="2" t="s">
        <v>41</v>
      </c>
    </row>
  </sheetData>
  <conditionalFormatting sqref="G2:G1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selection activeCell="D7" sqref="D7"/>
    </sheetView>
  </sheetViews>
  <sheetFormatPr defaultRowHeight="13.8"/>
  <cols>
    <col min="1" max="1" width="6" customWidth="1"/>
    <col min="2" max="2" width="78" customWidth="1"/>
    <col min="3" max="3" width="18" customWidth="1"/>
    <col min="4" max="4" width="34" customWidth="1"/>
    <col min="5" max="5" width="22" customWidth="1"/>
    <col min="6" max="6" width="12" customWidth="1"/>
  </cols>
  <sheetData>
    <row r="1" spans="1:6" ht="17.399999999999999">
      <c r="A1" s="12" t="s">
        <v>54</v>
      </c>
      <c r="B1" s="13"/>
      <c r="C1" s="13"/>
      <c r="D1" s="13"/>
      <c r="E1" s="13"/>
      <c r="F1" s="13"/>
    </row>
    <row r="3" spans="1:6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</row>
    <row r="4" spans="1:6">
      <c r="A4" s="2">
        <v>1</v>
      </c>
      <c r="B4" s="2" t="s">
        <v>61</v>
      </c>
      <c r="C4" s="2" t="s">
        <v>62</v>
      </c>
      <c r="D4" s="6">
        <f>_xlfn.XLOOKUP("Mercury Insurance",Raw_Data!B:B, Raw_Data!F:F)</f>
        <v>80000</v>
      </c>
      <c r="E4" s="2" t="s">
        <v>63</v>
      </c>
      <c r="F4" s="2"/>
    </row>
    <row r="5" spans="1:6">
      <c r="A5" s="2">
        <v>2</v>
      </c>
      <c r="B5" s="2" t="s">
        <v>64</v>
      </c>
      <c r="C5" s="2" t="s">
        <v>62</v>
      </c>
      <c r="D5" s="7">
        <f>_xlfn.XLOOKUP("Three Square", JobSearch[Company], JobSearch[Fit_Rating])</f>
        <v>10</v>
      </c>
      <c r="E5" s="2" t="s">
        <v>63</v>
      </c>
      <c r="F5" s="2"/>
    </row>
    <row r="6" spans="1:6">
      <c r="A6" s="2">
        <v>3</v>
      </c>
      <c r="B6" s="2" t="s">
        <v>65</v>
      </c>
      <c r="C6" s="2" t="s">
        <v>62</v>
      </c>
      <c r="D6" s="7">
        <f>_xlfn.XLOOKUP("Las Vegas Sands", JobSearch[Company], JobSearch[Salary_Max], "Not Found")</f>
        <v>76000</v>
      </c>
      <c r="E6" s="2" t="s">
        <v>66</v>
      </c>
      <c r="F6" s="2"/>
    </row>
    <row r="7" spans="1:6">
      <c r="A7" s="2">
        <v>4</v>
      </c>
      <c r="B7" s="2" t="s">
        <v>67</v>
      </c>
      <c r="C7" s="2" t="s">
        <v>68</v>
      </c>
      <c r="D7" s="7">
        <f>AVERAGEIF(JobSearch[Status],"Interview",JobSearch[Fit_Rating])</f>
        <v>8.5</v>
      </c>
      <c r="E7" s="2" t="s">
        <v>69</v>
      </c>
      <c r="F7" s="2"/>
    </row>
    <row r="8" spans="1:6">
      <c r="A8" s="2">
        <v>5</v>
      </c>
      <c r="B8" s="2" t="s">
        <v>70</v>
      </c>
      <c r="C8" s="2" t="s">
        <v>71</v>
      </c>
      <c r="D8" s="7"/>
      <c r="E8" s="2" t="s">
        <v>72</v>
      </c>
      <c r="F8" s="2"/>
    </row>
    <row r="9" spans="1:6">
      <c r="A9" s="2">
        <v>6</v>
      </c>
      <c r="B9" s="2" t="s">
        <v>73</v>
      </c>
      <c r="C9" s="2" t="s">
        <v>74</v>
      </c>
      <c r="D9" s="7"/>
      <c r="E9" s="2" t="s">
        <v>72</v>
      </c>
      <c r="F9" s="2"/>
    </row>
    <row r="10" spans="1:6">
      <c r="A10" s="2">
        <v>7</v>
      </c>
      <c r="B10" s="2" t="s">
        <v>75</v>
      </c>
      <c r="C10" s="2" t="s">
        <v>76</v>
      </c>
      <c r="D10" s="7"/>
      <c r="E10" s="2" t="s">
        <v>72</v>
      </c>
      <c r="F10" s="2"/>
    </row>
    <row r="11" spans="1:6">
      <c r="A11" s="2">
        <v>8</v>
      </c>
      <c r="B11" s="2" t="s">
        <v>77</v>
      </c>
      <c r="C11" s="2" t="s">
        <v>78</v>
      </c>
      <c r="D11" s="8"/>
      <c r="E11" s="2" t="s">
        <v>79</v>
      </c>
      <c r="F11" s="2"/>
    </row>
    <row r="14" spans="1:6">
      <c r="A14" s="14" t="s">
        <v>80</v>
      </c>
      <c r="B14" s="13"/>
      <c r="C14" s="13"/>
      <c r="D14" s="13"/>
      <c r="E14" s="13"/>
      <c r="F14" s="13"/>
    </row>
    <row r="16" spans="1:6">
      <c r="A16" s="9" t="s">
        <v>55</v>
      </c>
      <c r="B16" s="9" t="s">
        <v>81</v>
      </c>
      <c r="C16" s="9" t="s">
        <v>82</v>
      </c>
    </row>
    <row r="17" spans="1:6">
      <c r="A17">
        <v>1</v>
      </c>
      <c r="B17" s="2" t="e">
        <f ca="1">_xludf.XLOOKUP("Mercury Insurance",JobSearch[Company],JobSearch[Salary_Max])</f>
        <v>#NAME?</v>
      </c>
      <c r="C17" s="10">
        <v>80000</v>
      </c>
    </row>
    <row r="18" spans="1:6">
      <c r="A18">
        <v>2</v>
      </c>
      <c r="B18" s="2" t="e">
        <f ca="1">_xludf.XLOOKUP("Three Square",JobSearch[Company],JobSearch[Fit_Rating])</f>
        <v>#NAME?</v>
      </c>
      <c r="C18" s="10">
        <v>10</v>
      </c>
    </row>
    <row r="19" spans="1:6">
      <c r="A19">
        <v>3</v>
      </c>
      <c r="B19" s="2" t="e">
        <f ca="1">_xludf.XLOOKUP("Las Vegas Sands",JobSearch[Company],JobSearch[Salary_Max],"Not Found")</f>
        <v>#NAME?</v>
      </c>
      <c r="C19" s="10">
        <v>76000</v>
      </c>
    </row>
    <row r="20" spans="1:6">
      <c r="A20">
        <v>4</v>
      </c>
      <c r="B20" s="2">
        <f>AVERAGEIF(JobSearch[Status],"Interview",JobSearch[Fit_Rating])</f>
        <v>8.5</v>
      </c>
      <c r="C20" s="10">
        <v>8.5</v>
      </c>
    </row>
    <row r="21" spans="1:6">
      <c r="A21">
        <v>5</v>
      </c>
      <c r="B21" s="2">
        <f>AVERAGEIFS(JobSearch[Salary_Max],JobSearch[Status],"Interview",JobSearch[Fit_Rating],"&gt;=8")</f>
        <v>71500</v>
      </c>
      <c r="C21" s="10">
        <v>71500</v>
      </c>
    </row>
    <row r="22" spans="1:6">
      <c r="A22">
        <v>6</v>
      </c>
      <c r="B22" s="2">
        <f>COUNTIFS(JobSearch[Status],"Interview",JobSearch[Fit_Rating],"&gt;=8")</f>
        <v>4</v>
      </c>
      <c r="C22" s="10">
        <v>4</v>
      </c>
    </row>
    <row r="23" spans="1:6">
      <c r="A23">
        <v>7</v>
      </c>
      <c r="B23" s="2">
        <f>SUMIFS(JobSearch[Salary_Max],JobSearch[Status],"Interview",JobSearch[Fit_Rating],"&gt;=8")</f>
        <v>286000</v>
      </c>
      <c r="C23" s="10">
        <v>286000</v>
      </c>
    </row>
    <row r="24" spans="1:6">
      <c r="A24">
        <v>8</v>
      </c>
      <c r="B24" s="2">
        <f>COUNTIF(JobSearch[Status],"Applied")</f>
        <v>4</v>
      </c>
      <c r="C24" s="10">
        <v>4</v>
      </c>
    </row>
    <row r="26" spans="1:6" ht="14.4">
      <c r="A26" s="15" t="s">
        <v>83</v>
      </c>
      <c r="B26" s="13"/>
      <c r="C26" s="13"/>
      <c r="D26" s="13"/>
      <c r="E26" s="13"/>
      <c r="F26" s="13"/>
    </row>
  </sheetData>
  <mergeCells count="3">
    <mergeCell ref="A1:F1"/>
    <mergeCell ref="A14:F14"/>
    <mergeCell ref="A26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B9" sqref="B9"/>
    </sheetView>
  </sheetViews>
  <sheetFormatPr defaultRowHeight="13.8"/>
  <cols>
    <col min="1" max="1" width="20" customWidth="1"/>
    <col min="2" max="2" width="55" customWidth="1"/>
  </cols>
  <sheetData>
    <row r="1" spans="1:4" ht="17.399999999999999">
      <c r="A1" s="16" t="s">
        <v>84</v>
      </c>
      <c r="B1" s="13"/>
      <c r="C1" s="13"/>
      <c r="D1" s="13"/>
    </row>
    <row r="3" spans="1:4">
      <c r="A3" s="11" t="s">
        <v>85</v>
      </c>
      <c r="B3" s="11" t="s">
        <v>86</v>
      </c>
    </row>
    <row r="4" spans="1:4">
      <c r="A4" s="2" t="s">
        <v>62</v>
      </c>
      <c r="B4" s="2" t="s">
        <v>87</v>
      </c>
    </row>
    <row r="5" spans="1:4">
      <c r="A5" s="2" t="s">
        <v>78</v>
      </c>
      <c r="B5" s="2" t="s">
        <v>88</v>
      </c>
    </row>
    <row r="6" spans="1:4">
      <c r="A6" s="2" t="s">
        <v>74</v>
      </c>
      <c r="B6" s="2" t="s">
        <v>89</v>
      </c>
    </row>
    <row r="7" spans="1:4">
      <c r="A7" s="2" t="s">
        <v>90</v>
      </c>
      <c r="B7" s="2" t="s">
        <v>91</v>
      </c>
    </row>
    <row r="8" spans="1:4">
      <c r="A8" s="2" t="s">
        <v>76</v>
      </c>
      <c r="B8" s="2" t="s">
        <v>92</v>
      </c>
    </row>
    <row r="9" spans="1:4">
      <c r="A9" s="2" t="s">
        <v>68</v>
      </c>
      <c r="B9" s="2" t="s">
        <v>93</v>
      </c>
    </row>
    <row r="10" spans="1:4">
      <c r="A10" s="2" t="s">
        <v>71</v>
      </c>
      <c r="B10" s="2" t="s">
        <v>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Practice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Rafael</dc:creator>
  <cp:lastModifiedBy>Nico Rafael</cp:lastModifiedBy>
  <dcterms:created xsi:type="dcterms:W3CDTF">2026-09-28T21:26:28Z</dcterms:created>
  <dcterms:modified xsi:type="dcterms:W3CDTF">2026-09-28T21:26:28Z</dcterms:modified>
</cp:coreProperties>
</file>